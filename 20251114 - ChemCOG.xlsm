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ymeratx-my.sharepoint.com/personal/nuhlig_kymeratx_com/Documents/Side Projects/ChatGPT/COGs Tool/"/>
    </mc:Choice>
  </mc:AlternateContent>
  <xr:revisionPtr revIDLastSave="28" documentId="8_{3DE4898E-FF5E-48B1-9C6D-FE6C3296DB99}" xr6:coauthVersionLast="47" xr6:coauthVersionMax="47" xr10:uidLastSave="{E3655C59-6740-465E-9ACA-80F9149E163C}"/>
  <bookViews>
    <workbookView xWindow="22530" yWindow="2415" windowWidth="24225" windowHeight="15135" xr2:uid="{90AC243F-A953-400B-B3C8-4EF433A8E6EE}"/>
  </bookViews>
  <sheets>
    <sheet name="COG Lookup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B6" i="1" a="1"/>
  <c r="B6" i="1" l="1"/>
  <c r="D6" i="1" a="1"/>
  <c r="C6" i="1" a="1"/>
  <c r="C6" i="1" l="1"/>
  <c r="D6" i="1"/>
  <c r="F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<sst xmlns="http://schemas.openxmlformats.org/spreadsheetml/2006/main" count="17" uniqueCount="17">
  <si>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Raw Material</t>
  </si>
  <si>
    <t>SMILES</t>
  </si>
  <si>
    <t>MW</t>
  </si>
  <si>
    <t>Lead Time</t>
  </si>
  <si>
    <t>$/kg</t>
  </si>
  <si>
    <t>$/mol</t>
  </si>
  <si>
    <t>Molport ID</t>
  </si>
  <si>
    <t>Best Price</t>
  </si>
  <si>
    <t>Currency</t>
  </si>
  <si>
    <t>Supplier</t>
  </si>
  <si>
    <t>MolPortMsg</t>
  </si>
  <si>
    <t>Pack Size (kg)</t>
  </si>
  <si>
    <t>4-bromo-3-chloroaniline</t>
  </si>
  <si>
    <t>CAS</t>
  </si>
  <si>
    <t>Purity (%)</t>
  </si>
  <si>
    <t>Not found</t>
  </si>
  <si>
    <t>chem-search: Username or password is incorrect!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</si>
</sst>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"/>
    <numFmt numFmtId="165" formatCode="&quot;$&quot;#,##0.00"/>
    <numFmt numFmtId="166" formatCode="0.000000"/>
    <numFmt numFmtId="167" formatCode="0.0"/>
  </numFmts>
  <fonts count="8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" fillId="0" borderId="0" xfId="1" applyBorder="1" applyAlignment="1">
      <alignment horizontal="center" vertical="center" wrapText="1"/>
    </xf>
    <xf numFmtId="2" fontId="1" fillId="0" borderId="0" xfId="1" applyNumberFormat="1" applyBorder="1" applyAlignment="1">
      <alignment horizontal="center" vertical="center" wrapText="1"/>
    </xf>
    <xf numFmtId="166" fontId="1" fillId="0" borderId="0" xfId="1" applyNumberFormat="1" applyBorder="1" applyAlignment="1">
      <alignment horizontal="center" vertical="center" wrapText="1"/>
    </xf>
    <xf numFmtId="165" fontId="4" fillId="0" borderId="0" xfId="1" applyNumberFormat="1" applyFont="1" applyBorder="1" applyAlignment="1">
      <alignment horizontal="center" vertical="center" wrapText="1"/>
    </xf>
    <xf numFmtId="3" fontId="4" fillId="0" borderId="0" xfId="1" applyNumberFormat="1" applyFont="1" applyBorder="1" applyAlignment="1">
      <alignment horizontal="center" vertical="center" wrapText="1"/>
    </xf>
    <xf numFmtId="167" fontId="4" fillId="0" borderId="0" xfId="1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strike val="0"/>
        <outline val="0"/>
        <shadow val="0"/>
        <vertAlign val="baseline"/>
        <sz val="11"/>
        <name val="Arial"/>
        <family val="2"/>
        <scheme val="none"/>
      </font>
      <numFmt numFmtId="165" formatCode="&quot;$&quot;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Arial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Arial"/>
        <family val="2"/>
        <scheme val="none"/>
      </font>
      <numFmt numFmtId="165" formatCode="&quot;$&quot;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/>
        <vertAlign val="baseline"/>
        <sz val="11"/>
        <color theme="10"/>
        <name val="Arial"/>
        <family val="2"/>
        <scheme val="none"/>
      </font>
      <numFmt numFmtId="167" formatCode="0.0"/>
      <alignment horizontal="center" vertical="center" textRotation="0" wrapText="1" indent="0" justifyLastLine="0" shrinkToFit="0" readingOrder="0"/>
    </dxf>
    <dxf>
      <numFmt numFmtId="166" formatCode="0.0000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numFmt numFmtId="164" formatCode="&quot;$&quot;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Arial"/>
        <family val="2"/>
        <scheme val="none"/>
      </font>
      <numFmt numFmtId="164" formatCode="&quot;$&quot;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vertAlign val="baseline"/>
        <sz val="1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Arial"/>
        <family val="2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/>
                </a:rPr>
                <a:t>Retrieve Supplier, Pricing, and Lead Time Info from MolPort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A3F35-62E0-4D16-9AE9-60A8870F031D}" name="AlphaRaws" displayName="AlphaRaws" ref="A5:N6" headerRowDxfId="30" dataDxfId="29" totalsRowDxfId="28">
  <autoFilter ref="A5:N6" xr:uid="{4CCA3F35-62E0-4D16-9AE9-60A8870F031D}"/>
  <tableColumns count="14">
    <tableColumn id="1" xr3:uid="{EE685CA8-DEDA-4778-BB22-151D302EF09C}" name="Raw Material" totalsRowLabel="Total" dataDxfId="13" totalsRowDxfId="27"/>
    <tableColumn id="13" xr3:uid="{22C70797-6A69-45E1-9F58-D08CA7A4EE25}" name="SMILES" dataDxfId="12" totalsRowDxfId="26">
      <calculatedColumnFormula array="1">getSMILESFromName(AlphaRaws[[#This Row],[Raw Material]])</calculatedColumnFormula>
    </tableColumn>
    <tableColumn id="4" xr3:uid="{1E7B4DF4-259F-4763-942B-C33528EF6BCB}" name="CAS" dataDxfId="11" totalsRowDxfId="25">
      <calculatedColumnFormula array="1">getCASFromSMILES(AlphaRaws[[#This Row],[SMILES]])</calculatedColumnFormula>
    </tableColumn>
    <tableColumn id="2" xr3:uid="{3FA1B282-67C0-432C-9831-38B8B5BEB542}" name="MW" dataDxfId="10" totalsRowDxfId="24">
      <calculatedColumnFormula array="1">getMolWeightFromSMILES(AlphaRaws[[#This Row],[SMILES]])</calculatedColumnFormula>
    </tableColumn>
    <tableColumn id="3" xr3:uid="{A1BFA4DC-8613-4626-9449-536CE0E9DC97}" name="$/kg" dataDxfId="9" totalsRowDxfId="23">
      <calculatedColumnFormula>AlphaRaws[[#This Row],[Best Price]]/AlphaRaws[[#This Row],[Pack Size (kg)]]</calculatedColumnFormula>
    </tableColumn>
    <tableColumn id="9" xr3:uid="{0AEAE69D-575B-4135-A8C8-93B6E1372616}" name="$/mol" dataDxfId="8" totalsRowDxfId="22">
      <calculatedColumnFormula>AlphaRaws[[#This Row],[$/kg]]*(1000/AlphaRaws[[#This Row],[MW]])</calculatedColumnFormula>
    </tableColumn>
    <tableColumn id="18" xr3:uid="{3585E6F7-C6E6-4FA2-8AFB-2C0B8285A8CB}" name="Molport ID" dataDxfId="7" totalsRowDxfId="21" dataCellStyle="Normal"/>
    <tableColumn id="17" xr3:uid="{75F70932-D5D2-46E4-86CA-07F8AD04A547}" name="Best Price" dataDxfId="6" totalsRowDxfId="20"/>
    <tableColumn id="16" xr3:uid="{67903889-4322-4723-B5B3-0D86DA6772D9}" name="Currency" dataDxfId="5" totalsRowDxfId="19"/>
    <tableColumn id="15" xr3:uid="{516BDD65-3780-49B0-A89D-C3AC330985EC}" name="Pack Size (kg)" dataDxfId="4" totalsRowDxfId="18"/>
    <tableColumn id="5" xr3:uid="{4A54A0AC-BDB8-4BCC-A6E8-6FE3F9DCAF0D}" name="Purity (%)" dataDxfId="3" totalsRowDxfId="17" dataCellStyle="Hyperlink"/>
    <tableColumn id="14" xr3:uid="{DE9A199E-7A37-4389-B47D-DE81E5986F7D}" name="Supplier" dataDxfId="2" totalsRowDxfId="16" dataCellStyle="Hyperlink"/>
    <tableColumn id="20" xr3:uid="{176C2402-17FD-4219-B608-7F40FB246001}" name="Lead Time" dataDxfId="1" totalsRowDxfId="15" dataCellStyle="Hyperlink"/>
    <tableColumn id="21" xr3:uid="{17F9562A-8A42-45A5-B2CC-46C854A52D9A}" name="MolPortMsg" dataDxfId="0" totalsRowDxfId="14" dataCellStyle="Hyperlink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3EBA6-D022-4A79-9E7D-D390FD09BCB7}">
  <sheetPr codeName="Sheet1"/>
  <dimension ref="A5:N6"/>
  <sheetViews>
    <sheetView tabSelected="1" zoomScale="70" zoomScaleNormal="70" workbookViewId="0">
      <selection activeCell="A19" sqref="A19"/>
    </sheetView>
  </sheetViews>
  <sheetFormatPr defaultColWidth="0" defaultRowHeight="15" x14ac:dyDescent="0.25"/>
  <cols>
    <col min="1" max="1" width="44.28515625" style="1" bestFit="1" customWidth="1"/>
    <col min="2" max="2" width="48.5703125" style="1" bestFit="1" customWidth="1"/>
    <col min="3" max="6" width="15.7109375" style="1" customWidth="1"/>
    <col min="7" max="7" width="23.85546875" style="1" customWidth="1"/>
    <col min="8" max="11" width="15.7109375" style="1" customWidth="1"/>
    <col min="12" max="12" width="32.5703125" style="1" customWidth="1"/>
    <col min="13" max="13" width="15.7109375" style="1" customWidth="1"/>
    <col min="14" max="14" width="9.140625" customWidth="1"/>
    <col min="15" max="16384" width="9.140625" hidden="1"/>
  </cols>
  <sheetData>
    <row r="5" spans="1:14" ht="30" x14ac:dyDescent="0.25">
      <c r="A5" s="1" t="s">
        <v>0</v>
      </c>
      <c r="B5" s="1" t="s">
        <v>1</v>
      </c>
      <c r="C5" s="1" t="s">
        <v>13</v>
      </c>
      <c r="D5" s="1" t="s">
        <v>2</v>
      </c>
      <c r="E5" s="1" t="s">
        <v>4</v>
      </c>
      <c r="F5" s="2" t="s">
        <v>5</v>
      </c>
      <c r="G5" s="1" t="s">
        <v>6</v>
      </c>
      <c r="H5" s="1" t="s">
        <v>7</v>
      </c>
      <c r="I5" s="1" t="s">
        <v>8</v>
      </c>
      <c r="J5" s="1" t="s">
        <v>11</v>
      </c>
      <c r="K5" s="2" t="s">
        <v>14</v>
      </c>
      <c r="L5" s="2" t="s">
        <v>9</v>
      </c>
      <c r="M5" s="2" t="s">
        <v>3</v>
      </c>
      <c r="N5" s="2" t="s">
        <v>10</v>
      </c>
    </row>
    <row r="6" spans="1:14" ht="114" x14ac:dyDescent="0.25">
      <c r="A6" s="3" t="s">
        <v>12</v>
      </c>
      <c r="B6" s="3" t="str" cm="1">
        <f t="array" ref="B6">getSMILESFromName(AlphaRaws[[#This Row],[Raw Material]])</f>
        <v>C1=CC(=C(C=C1N)Cl)Br</v>
      </c>
      <c r="C6" s="3" t="str" cm="1">
        <f t="array" ref="C6">getCASFromSMILES(AlphaRaws[[#This Row],[SMILES]])</f>
        <v>21402-26-6</v>
      </c>
      <c r="D6" s="2" t="str" cm="1">
        <f t="array" ref="D6">getMolWeightFromSMILES(AlphaRaws[[#This Row],[SMILES]])</f>
        <v>206.47</v>
      </c>
      <c r="E6" s="4" t="e">
        <f>AlphaRaws[[#This Row],[Best Price]]/AlphaRaws[[#This Row],[Pack Size (kg)]]</f>
        <v>#DIV/0!</v>
      </c>
      <c r="F6" s="5" t="e">
        <f>AlphaRaws[[#This Row],[$/kg]]*(1000/AlphaRaws[[#This Row],[MW]])</f>
        <v>#DIV/0!</v>
      </c>
      <c r="G6" s="12" t="s">
        <v>15</v>
      </c>
      <c r="H6" s="7"/>
      <c r="I6" s="6"/>
      <c r="J6" s="8"/>
      <c r="K6" s="11"/>
      <c r="L6" s="9"/>
      <c r="M6" s="10"/>
      <c r="N6" s="9" t="s">
        <v>16</v>
      </c>
    </row>
  </sheetData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tchMolPortPricesTable_KG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alculateAll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COG 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ChemCOG v1.0</dc:title>
  <dc:creator/>
  <cp:keywords>chemistry,sourcing,VBA,molport</cp:keywords>
  <cp:lastModifiedBy>Nick Uhlig</cp:lastModifiedBy>
  <dcterms:created xsi:type="dcterms:W3CDTF">2025-10-01T15:59:53Z</dcterms:created>
  <dcterms:modified xsi:type="dcterms:W3CDTF">2025-11-14T18:49:43Z</dcterms:modified>
</cp:coreProperties>
</file>